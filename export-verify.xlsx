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/>
  <sheets>
    <sheet name="入力用（記入例 example）" sheetId="1" r:id="rId1"/>
    <sheet name="入力用" sheetId="2" r:id="rId2"/>
  </sheets>
  <definedNames>
    <definedName name="Calendar10Month" localSheetId="1">入力用!#REF!</definedName>
    <definedName name="Calendar10Month" localSheetId="0">'入力用（記入例 example）'!#REF!</definedName>
    <definedName name="Calendar10Month">#REF!</definedName>
    <definedName name="Calendar10MonthOption" localSheetId="1">MATCH(入力用!Calendar10Month,入力用!月,0)</definedName>
    <definedName name="Calendar10MonthOption" localSheetId="0">MATCH('入力用（記入例 example）'!Calendar10Month,'入力用（記入例 example）'!月,0)</definedName>
    <definedName name="Calendar10MonthOption">MATCH(Calendar10Month,月,0)</definedName>
    <definedName name="Calendar10Year" localSheetId="1">入力用!#REF!</definedName>
    <definedName name="Calendar10Year" localSheetId="0">'入力用（記入例 example）'!#REF!</definedName>
    <definedName name="Calendar10Year">#REF!</definedName>
    <definedName name="Calendar11Month" localSheetId="1">入力用!#REF!</definedName>
    <definedName name="Calendar11Month" localSheetId="0">'入力用（記入例 example）'!#REF!</definedName>
    <definedName name="Calendar11Month">#REF!</definedName>
    <definedName name="Calendar11MonthOption" localSheetId="1">MATCH(入力用!Calendar11Month,入力用!月,0)</definedName>
    <definedName name="Calendar11MonthOption" localSheetId="0">MATCH('入力用（記入例 example）'!Calendar11Month,'入力用（記入例 example）'!月,0)</definedName>
    <definedName name="Calendar11MonthOption">MATCH(Calendar11Month,月,0)</definedName>
    <definedName name="Calendar11Year" localSheetId="1">入力用!#REF!</definedName>
    <definedName name="Calendar11Year" localSheetId="0">'入力用（記入例 example）'!#REF!</definedName>
    <definedName name="Calendar11Year">#REF!</definedName>
    <definedName name="Calendar12Month" localSheetId="1">入力用!#REF!</definedName>
    <definedName name="Calendar12Month" localSheetId="0">'入力用（記入例 example）'!#REF!</definedName>
    <definedName name="Calendar12Month">#REF!</definedName>
    <definedName name="Calendar12MonthOption" localSheetId="1">MATCH(入力用!Calendar12Month,入力用!月,0)</definedName>
    <definedName name="Calendar12MonthOption" localSheetId="0">MATCH('入力用（記入例 example）'!Calendar12Month,'入力用（記入例 example）'!月,0)</definedName>
    <definedName name="Calendar12MonthOption">MATCH(Calendar12Month,月,0)</definedName>
    <definedName name="Calendar12Year" localSheetId="1">入力用!#REF!</definedName>
    <definedName name="Calendar12Year" localSheetId="0">'入力用（記入例 example）'!#REF!</definedName>
    <definedName name="Calendar12Year">#REF!</definedName>
    <definedName name="Calendar1Month" localSheetId="1">入力用!$C$3</definedName>
    <definedName name="Calendar1Month" localSheetId="0">'入力用（記入例 example）'!$C$2</definedName>
    <definedName name="Calendar1Month">#REF!</definedName>
    <definedName name="Calendar1MonthOption" localSheetId="1">MATCH(入力用!Calendar1Month,入力用!月,0)</definedName>
    <definedName name="Calendar1MonthOption" localSheetId="0">MATCH('入力用（記入例 example）'!Calendar1Month,'入力用（記入例 example）'!月,0)</definedName>
    <definedName name="Calendar1MonthOption">MATCH(Calendar1Month,月,0)</definedName>
    <definedName name="Calendar1Year" localSheetId="1">入力用!$B$3</definedName>
    <definedName name="Calendar1Year" localSheetId="0">'入力用（記入例 example）'!$B$2</definedName>
    <definedName name="Calendar1Year">#REF!</definedName>
    <definedName name="Calendar2Month" localSheetId="1">入力用!$C$18</definedName>
    <definedName name="Calendar2Month" localSheetId="0">'入力用（記入例 example）'!$C$17</definedName>
    <definedName name="Calendar2Month">#REF!</definedName>
    <definedName name="Calendar2MonthOption" localSheetId="1">MATCH(入力用!Calendar2Month,入力用!月,0)</definedName>
    <definedName name="Calendar2MonthOption" localSheetId="0">MATCH('入力用（記入例 example）'!Calendar2Month,'入力用（記入例 example）'!月,0)</definedName>
    <definedName name="Calendar2MonthOption">MATCH(Calendar2Month,月,0)</definedName>
    <definedName name="Calendar2Year" localSheetId="1">入力用!$B$18</definedName>
    <definedName name="Calendar2Year" localSheetId="0">'入力用（記入例 example）'!$B$17</definedName>
    <definedName name="Calendar2Year">#REF!</definedName>
    <definedName name="Calendar3Month" localSheetId="1">入力用!#REF!</definedName>
    <definedName name="Calendar3Month" localSheetId="0">'入力用（記入例 example）'!$C$32</definedName>
    <definedName name="Calendar3Month">#REF!</definedName>
    <definedName name="Calendar3MonthOption" localSheetId="1">MATCH(入力用!Calendar3Month,入力用!月,0)</definedName>
    <definedName name="Calendar3MonthOption" localSheetId="0">MATCH('入力用（記入例 example）'!Calendar3Month,'入力用（記入例 example）'!月,0)</definedName>
    <definedName name="Calendar3MonthOption">MATCH(Calendar3Month,月,0)</definedName>
    <definedName name="Calendar3Year" localSheetId="1">入力用!#REF!</definedName>
    <definedName name="Calendar3Year" localSheetId="0">'入力用（記入例 example）'!$B$32</definedName>
    <definedName name="Calendar3Year">#REF!</definedName>
    <definedName name="Calendar4Month" localSheetId="1">入力用!#REF!</definedName>
    <definedName name="Calendar4Month" localSheetId="0">'入力用（記入例 example）'!#REF!</definedName>
    <definedName name="Calendar4Month">#REF!</definedName>
    <definedName name="Calendar4MonthOption" localSheetId="1">MATCH(入力用!Calendar4Month,入力用!月,0)</definedName>
    <definedName name="Calendar4MonthOption" localSheetId="0">MATCH('入力用（記入例 example）'!Calendar4Month,'入力用（記入例 example）'!月,0)</definedName>
    <definedName name="Calendar4MonthOption">MATCH(Calendar4Month,月,0)</definedName>
    <definedName name="Calendar4Year" localSheetId="1">入力用!#REF!</definedName>
    <definedName name="Calendar4Year" localSheetId="0">'入力用（記入例 example）'!#REF!</definedName>
    <definedName name="Calendar4Year">#REF!</definedName>
    <definedName name="Calendar5Month" localSheetId="1">入力用!#REF!</definedName>
    <definedName name="Calendar5Month" localSheetId="0">'入力用（記入例 example）'!#REF!</definedName>
    <definedName name="Calendar5Month">#REF!</definedName>
    <definedName name="Calendar5MonthOption" localSheetId="1">MATCH(入力用!Calendar5Month,入力用!月,0)</definedName>
    <definedName name="Calendar5MonthOption" localSheetId="0">MATCH('入力用（記入例 example）'!Calendar5Month,'入力用（記入例 example）'!月,0)</definedName>
    <definedName name="Calendar5MonthOption">MATCH(Calendar5Month,月,0)</definedName>
    <definedName name="Calendar5Year" localSheetId="1">入力用!#REF!</definedName>
    <definedName name="Calendar5Year" localSheetId="0">'入力用（記入例 example）'!#REF!</definedName>
    <definedName name="Calendar5Year">#REF!</definedName>
    <definedName name="Calendar6Month" localSheetId="1">入力用!#REF!</definedName>
    <definedName name="Calendar6Month" localSheetId="0">'入力用（記入例 example）'!#REF!</definedName>
    <definedName name="Calendar6Month">#REF!</definedName>
    <definedName name="Calendar6MonthOption" localSheetId="1">MATCH(入力用!Calendar6Month,入力用!月,0)</definedName>
    <definedName name="Calendar6MonthOption" localSheetId="0">MATCH('入力用（記入例 example）'!Calendar6Month,'入力用（記入例 example）'!月,0)</definedName>
    <definedName name="Calendar6MonthOption">MATCH(Calendar6Month,月,0)</definedName>
    <definedName name="Calendar6Year" localSheetId="1">入力用!#REF!</definedName>
    <definedName name="Calendar6Year" localSheetId="0">'入力用（記入例 example）'!#REF!</definedName>
    <definedName name="Calendar6Year">#REF!</definedName>
    <definedName name="Calendar7Month" localSheetId="1">入力用!#REF!</definedName>
    <definedName name="Calendar7Month" localSheetId="0">'入力用（記入例 example）'!#REF!</definedName>
    <definedName name="Calendar7Month">#REF!</definedName>
    <definedName name="Calendar7MonthOption" localSheetId="1">MATCH(入力用!Calendar7Month,入力用!月,0)</definedName>
    <definedName name="Calendar7MonthOption" localSheetId="0">MATCH('入力用（記入例 example）'!Calendar7Month,'入力用（記入例 example）'!月,0)</definedName>
    <definedName name="Calendar7MonthOption">MATCH(Calendar7Month,月,0)</definedName>
    <definedName name="Calendar7Year" localSheetId="1">入力用!#REF!</definedName>
    <definedName name="Calendar7Year" localSheetId="0">'入力用（記入例 example）'!#REF!</definedName>
    <definedName name="Calendar7Year">#REF!</definedName>
    <definedName name="Calendar8Month" localSheetId="1">入力用!#REF!</definedName>
    <definedName name="Calendar8Month" localSheetId="0">'入力用（記入例 example）'!#REF!</definedName>
    <definedName name="Calendar8Month">#REF!</definedName>
    <definedName name="Calendar8MonthOption" localSheetId="1">MATCH(入力用!Calendar8Month,入力用!月,0)</definedName>
    <definedName name="Calendar8MonthOption" localSheetId="0">MATCH('入力用（記入例 example）'!Calendar8Month,'入力用（記入例 example）'!月,0)</definedName>
    <definedName name="Calendar8MonthOption">MATCH(Calendar8Month,月,0)</definedName>
    <definedName name="Calendar8Year" localSheetId="1">入力用!#REF!</definedName>
    <definedName name="Calendar8Year" localSheetId="0">'入力用（記入例 example）'!#REF!</definedName>
    <definedName name="Calendar8Year">#REF!</definedName>
    <definedName name="Calendar9Month" localSheetId="1">入力用!#REF!</definedName>
    <definedName name="Calendar9Month" localSheetId="0">'入力用（記入例 example）'!#REF!</definedName>
    <definedName name="Calendar9Month">#REF!</definedName>
    <definedName name="Calendar9MonthOption" localSheetId="1">MATCH(入力用!Calendar9Month,入力用!月,0)</definedName>
    <definedName name="Calendar9MonthOption" localSheetId="0">MATCH('入力用（記入例 example）'!Calendar9Month,'入力用（記入例 example）'!月,0)</definedName>
    <definedName name="Calendar9MonthOption">MATCH(Calendar9Month,月,0)</definedName>
    <definedName name="Calendar9Year" localSheetId="1">入力用!#REF!</definedName>
    <definedName name="Calendar9Year" localSheetId="0">'入力用（記入例 example）'!#REF!</definedName>
    <definedName name="Calendar9Year">#REF!</definedName>
    <definedName name="ColumnTitleRegion1..H12.1" localSheetId="1">入力用!$B$4</definedName>
    <definedName name="ColumnTitleRegion1..H12.1" localSheetId="0">'入力用（記入例 example）'!$B$3</definedName>
    <definedName name="ColumnTitleRegion1..H12.1">#REF!</definedName>
    <definedName name="ColumnTitleRegion10..H54.1" localSheetId="1">入力用!#REF!</definedName>
    <definedName name="ColumnTitleRegion10..H54.1" localSheetId="0">'入力用（記入例 example）'!#REF!</definedName>
    <definedName name="ColumnTitleRegion10..H54.1">#REF!</definedName>
    <definedName name="ColumnTitleRegion11..C56.1" localSheetId="1">入力用!#REF!</definedName>
    <definedName name="ColumnTitleRegion11..C56.1" localSheetId="0">'入力用（記入例 example）'!#REF!</definedName>
    <definedName name="ColumnTitleRegion11..C56.1">#REF!</definedName>
    <definedName name="ColumnTitleRegion12..D56.1" localSheetId="1">入力用!#REF!</definedName>
    <definedName name="ColumnTitleRegion12..D56.1" localSheetId="0">'入力用（記入例 example）'!#REF!</definedName>
    <definedName name="ColumnTitleRegion12..D56.1">#REF!</definedName>
    <definedName name="ColumnTitleRegion13..H68.1" localSheetId="1">入力用!#REF!</definedName>
    <definedName name="ColumnTitleRegion13..H68.1" localSheetId="0">'入力用（記入例 example）'!#REF!</definedName>
    <definedName name="ColumnTitleRegion13..H68.1">#REF!</definedName>
    <definedName name="ColumnTitleRegion14..C70.1" localSheetId="1">入力用!#REF!</definedName>
    <definedName name="ColumnTitleRegion14..C70.1" localSheetId="0">'入力用（記入例 example）'!#REF!</definedName>
    <definedName name="ColumnTitleRegion14..C70.1">#REF!</definedName>
    <definedName name="ColumnTitleRegion15..D70.1" localSheetId="1">入力用!#REF!</definedName>
    <definedName name="ColumnTitleRegion15..D70.1" localSheetId="0">'入力用（記入例 example）'!#REF!</definedName>
    <definedName name="ColumnTitleRegion15..D70.1">#REF!</definedName>
    <definedName name="ColumnTitleRegion16..H82.1" localSheetId="1">入力用!#REF!</definedName>
    <definedName name="ColumnTitleRegion16..H82.1" localSheetId="0">'入力用（記入例 example）'!#REF!</definedName>
    <definedName name="ColumnTitleRegion16..H82.1">#REF!</definedName>
    <definedName name="ColumnTitleRegion17..C84.1" localSheetId="1">入力用!#REF!</definedName>
    <definedName name="ColumnTitleRegion17..C84.1" localSheetId="0">'入力用（記入例 example）'!#REF!</definedName>
    <definedName name="ColumnTitleRegion17..C84.1">#REF!</definedName>
    <definedName name="ColumnTitleRegion18..D84.1" localSheetId="1">入力用!#REF!</definedName>
    <definedName name="ColumnTitleRegion18..D84.1" localSheetId="0">'入力用（記入例 example）'!#REF!</definedName>
    <definedName name="ColumnTitleRegion18..D84.1">#REF!</definedName>
    <definedName name="ColumnTitleRegion19..H96.1" localSheetId="1">入力用!#REF!</definedName>
    <definedName name="ColumnTitleRegion19..H96.1" localSheetId="0">'入力用（記入例 example）'!#REF!</definedName>
    <definedName name="ColumnTitleRegion19..H96.1">#REF!</definedName>
    <definedName name="ColumnTitleRegion2..C14.1" localSheetId="1">入力用!$B$4</definedName>
    <definedName name="ColumnTitleRegion2..C14.1" localSheetId="0">'入力用（記入例 example）'!$B$3</definedName>
    <definedName name="ColumnTitleRegion2..C14.1">#REF!</definedName>
    <definedName name="ColumnTitleRegion20..C98.1" localSheetId="1">入力用!#REF!</definedName>
    <definedName name="ColumnTitleRegion20..C98.1" localSheetId="0">'入力用（記入例 example）'!#REF!</definedName>
    <definedName name="ColumnTitleRegion20..C98.1">#REF!</definedName>
    <definedName name="ColumnTitleRegion21..D98.1" localSheetId="1">入力用!#REF!</definedName>
    <definedName name="ColumnTitleRegion21..D98.1" localSheetId="0">'入力用（記入例 example）'!#REF!</definedName>
    <definedName name="ColumnTitleRegion21..D98.1">#REF!</definedName>
    <definedName name="ColumnTitleRegion22..H110.1" localSheetId="1">入力用!#REF!</definedName>
    <definedName name="ColumnTitleRegion22..H110.1" localSheetId="0">'入力用（記入例 example）'!#REF!</definedName>
    <definedName name="ColumnTitleRegion22..H110.1">#REF!</definedName>
    <definedName name="ColumnTitleRegion23..C112.1" localSheetId="1">入力用!#REF!</definedName>
    <definedName name="ColumnTitleRegion23..C112.1" localSheetId="0">'入力用（記入例 example）'!#REF!</definedName>
    <definedName name="ColumnTitleRegion23..C112.1">#REF!</definedName>
    <definedName name="ColumnTitleRegion24..D112.1" localSheetId="1">入力用!#REF!</definedName>
    <definedName name="ColumnTitleRegion24..D112.1" localSheetId="0">'入力用（記入例 example）'!#REF!</definedName>
    <definedName name="ColumnTitleRegion24..D112.1">#REF!</definedName>
    <definedName name="ColumnTitleRegion25..H124.1" localSheetId="1">入力用!#REF!</definedName>
    <definedName name="ColumnTitleRegion25..H124.1" localSheetId="0">'入力用（記入例 example）'!#REF!</definedName>
    <definedName name="ColumnTitleRegion25..H124.1">#REF!</definedName>
    <definedName name="ColumnTitleRegion26..C126.1" localSheetId="1">入力用!#REF!</definedName>
    <definedName name="ColumnTitleRegion26..C126.1" localSheetId="0">'入力用（記入例 example）'!#REF!</definedName>
    <definedName name="ColumnTitleRegion26..C126.1">#REF!</definedName>
    <definedName name="ColumnTitleRegion27..D126.1" localSheetId="1">入力用!#REF!</definedName>
    <definedName name="ColumnTitleRegion27..D126.1" localSheetId="0">'入力用（記入例 example）'!#REF!</definedName>
    <definedName name="ColumnTitleRegion27..D126.1">#REF!</definedName>
    <definedName name="ColumnTitleRegion28..H138.1" localSheetId="1">入力用!#REF!</definedName>
    <definedName name="ColumnTitleRegion28..H138.1" localSheetId="0">'入力用（記入例 example）'!#REF!</definedName>
    <definedName name="ColumnTitleRegion28..H138.1">#REF!</definedName>
    <definedName name="ColumnTitleRegion29..C140.1" localSheetId="1">入力用!#REF!</definedName>
    <definedName name="ColumnTitleRegion29..C140.1" localSheetId="0">'入力用（記入例 example）'!#REF!</definedName>
    <definedName name="ColumnTitleRegion29..C140.1">#REF!</definedName>
    <definedName name="ColumnTitleRegion3..D14.1" localSheetId="1">入力用!$D$15</definedName>
    <definedName name="ColumnTitleRegion3..D14.1" localSheetId="0">'入力用（記入例 example）'!$D$14</definedName>
    <definedName name="ColumnTitleRegion3..D14.1">#REF!</definedName>
    <definedName name="ColumnTitleRegion30..D140.1" localSheetId="1">入力用!#REF!</definedName>
    <definedName name="ColumnTitleRegion30..D140.1" localSheetId="0">'入力用（記入例 example）'!#REF!</definedName>
    <definedName name="ColumnTitleRegion30..D140.1">#REF!</definedName>
    <definedName name="ColumnTitleRegion31..H152.1" localSheetId="1">入力用!#REF!</definedName>
    <definedName name="ColumnTitleRegion31..H152.1" localSheetId="0">'入力用（記入例 example）'!#REF!</definedName>
    <definedName name="ColumnTitleRegion31..H152.1">#REF!</definedName>
    <definedName name="ColumnTitleRegion32..C154.1" localSheetId="1">入力用!#REF!</definedName>
    <definedName name="ColumnTitleRegion32..C154.1" localSheetId="0">'入力用（記入例 example）'!#REF!</definedName>
    <definedName name="ColumnTitleRegion32..C154.1">#REF!</definedName>
    <definedName name="ColumnTitleRegion33..D154.1" localSheetId="1">入力用!#REF!</definedName>
    <definedName name="ColumnTitleRegion33..D154.1" localSheetId="0">'入力用（記入例 example）'!#REF!</definedName>
    <definedName name="ColumnTitleRegion33..D154.1">#REF!</definedName>
    <definedName name="ColumnTitleRegion34..H166.1" localSheetId="1">入力用!#REF!</definedName>
    <definedName name="ColumnTitleRegion34..H166.1" localSheetId="0">'入力用（記入例 example）'!#REF!</definedName>
    <definedName name="ColumnTitleRegion34..H166.1">#REF!</definedName>
    <definedName name="ColumnTitleRegion35..C168.1" localSheetId="1">入力用!#REF!</definedName>
    <definedName name="ColumnTitleRegion35..C168.1" localSheetId="0">'入力用（記入例 example）'!#REF!</definedName>
    <definedName name="ColumnTitleRegion35..C168.1">#REF!</definedName>
    <definedName name="ColumnTitleRegion36..D168.1" localSheetId="1">入力用!#REF!</definedName>
    <definedName name="ColumnTitleRegion36..D168.1" localSheetId="0">'入力用（記入例 example）'!#REF!</definedName>
    <definedName name="ColumnTitleRegion36..D168.1">#REF!</definedName>
    <definedName name="ColumnTitleRegion4..H26.1" localSheetId="1">入力用!$B$19</definedName>
    <definedName name="ColumnTitleRegion4..H26.1" localSheetId="0">'入力用（記入例 example）'!$B$18</definedName>
    <definedName name="ColumnTitleRegion4..H26.1">#REF!</definedName>
    <definedName name="ColumnTitleRegion5..C28.1" localSheetId="1">入力用!$B$19</definedName>
    <definedName name="ColumnTitleRegion5..C28.1" localSheetId="0">'入力用（記入例 example）'!$B$18</definedName>
    <definedName name="ColumnTitleRegion5..C28.1">#REF!</definedName>
    <definedName name="ColumnTitleRegion6..D28.1" localSheetId="1">入力用!$D$30</definedName>
    <definedName name="ColumnTitleRegion6..D28.1" localSheetId="0">'入力用（記入例 example）'!$D$29</definedName>
    <definedName name="ColumnTitleRegion6..D28.1">#REF!</definedName>
    <definedName name="ColumnTitleRegion7..H40.1" localSheetId="1">入力用!#REF!</definedName>
    <definedName name="ColumnTitleRegion7..H40.1" localSheetId="0">'入力用（記入例 example）'!$B$33</definedName>
    <definedName name="ColumnTitleRegion7..H40.1">#REF!</definedName>
    <definedName name="ColumnTitleRegion8..C42.1" localSheetId="1">入力用!#REF!</definedName>
    <definedName name="ColumnTitleRegion8..C42.1" localSheetId="0">'入力用（記入例 example）'!$B$33</definedName>
    <definedName name="ColumnTitleRegion8..C42.1">#REF!</definedName>
    <definedName name="ColumnTitleRegion9..D42.1" localSheetId="1">入力用!#REF!</definedName>
    <definedName name="ColumnTitleRegion9..D42.1" localSheetId="0">'入力用（記入例 example）'!$D$44</definedName>
    <definedName name="ColumnTitleRegion9..D42.1">#REF!</definedName>
    <definedName name="Days" localSheetId="1">{0,1,2,3,4,5,6}</definedName>
    <definedName name="Days" localSheetId="0">{0,1,2,3,4,5,6}</definedName>
    <definedName name="Days">{0,1,2,3,4,5,6}</definedName>
    <definedName name="_xlnm.Print_Area" localSheetId="1">入力用!$B$3:$I$31</definedName>
    <definedName name="_xlnm.Print_Area" localSheetId="0">'入力用（記入例 example）'!$B$2:$I$171</definedName>
    <definedName name="WeekdayOption" localSheetId="1">MATCH(入力用!WeekStart,入力用!曜日,0)+10</definedName>
    <definedName name="WeekdayOption" localSheetId="0">MATCH('入力用（記入例 example）'!WeekStart,'入力用（記入例 example）'!曜日,0)+10</definedName>
    <definedName name="WeekdayOption">MATCH(WeekStart,曜日,0)+10</definedName>
    <definedName name="WeekStart" localSheetId="1">入力用!$B$4</definedName>
    <definedName name="WeekStart" localSheetId="0">'入力用（記入例 example）'!$B$3</definedName>
    <definedName name="WeekStart">#REF!</definedName>
    <definedName name="WeekStartValue" localSheetId="1">IF(入力用!WeekStart="月曜日",2,1)</definedName>
    <definedName name="WeekStartValue" localSheetId="0">IF('入力用（記入例 example）'!WeekStart="月曜日",2,1)</definedName>
    <definedName name="WeekStartValue">IF(WeekStart="月曜日",2,1)</definedName>
    <definedName name="月" localSheetId="1">{"1 月","2 月","3 月","4 月","5 月","6 月","7 月","8 月","9 月","10 月","11 月","12 月"}</definedName>
    <definedName name="月" localSheetId="0">{"1 月","2 月","3 月","4 月","5 月","6 月","7 月","8 月","9 月","10 月","11 月","12 月"}</definedName>
    <definedName name="月">{"1 月","2 月","3 月","4 月","5 月","6 月","7 月","8 月","9 月","10 月","11 月","12 月"}</definedName>
    <definedName name="曜日" localSheetId="1">{"月曜日","火曜日","水曜日","木曜日","金曜日","土曜日","日曜日"}</definedName>
    <definedName name="曜日" localSheetId="0">{"月曜日","火曜日","水曜日","木曜日","金曜日","土曜日","日曜日"}</definedName>
    <definedName name="曜日">{"月曜日","火曜日","水曜日","木曜日","金曜日","土曜日","日曜日"}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2" formatCode="_ &quot;¥&quot;* #,##0_ ;_ &quot;¥&quot;* \-#,##0_ ;_ &quot;¥&quot;* &quot;-&quot;_ ;_ @_ "/>
    <numFmt numFmtId="44" formatCode="_ &quot;¥&quot;* #,##0.00_ ;_ &quot;¥&quot;* \-#,##0.00_ ;_ &quot;¥&quot;* &quot;-&quot;??_ ;_ @_ "/>
    <numFmt numFmtId="56" formatCode="&quot;上午/下午 &quot;hh&quot;時&quot;mm&quot;分&quot;ss&quot;秒 &quot;"/>
    <numFmt numFmtId="176" formatCode="_(* #,##0_);_(* \(#,##0\);_(* &quot;-&quot;_);_(@_)"/>
    <numFmt numFmtId="177" formatCode="_(* #,##0.00_);_(* \(#,##0.00\);_(* &quot;-&quot;??_);_(@_)"/>
    <numFmt numFmtId="178" formatCode="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78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Academic Calendar">
      <a:dk1>
        <a:srgbClr val="000000"/>
      </a:dk1>
      <a:lt1>
        <a:srgbClr val="FFFFFF"/>
      </a:lt1>
      <a:dk2>
        <a:srgbClr val="616668"/>
      </a:dk2>
      <a:lt2>
        <a:srgbClr val="F8F8F9"/>
      </a:lt2>
      <a:accent1>
        <a:srgbClr val="329E95"/>
      </a:accent1>
      <a:accent2>
        <a:srgbClr val="F4812B"/>
      </a:accent2>
      <a:accent3>
        <a:srgbClr val="EDB000"/>
      </a:accent3>
      <a:accent4>
        <a:srgbClr val="79B142"/>
      </a:accent4>
      <a:accent5>
        <a:srgbClr val="E34742"/>
      </a:accent5>
      <a:accent6>
        <a:srgbClr val="6D426F"/>
      </a:accent6>
      <a:hlink>
        <a:srgbClr val="2388CF"/>
      </a:hlink>
      <a:folHlink>
        <a:srgbClr val="6D426F"/>
      </a:folHlink>
    </a:clrScheme>
    <a:fontScheme name="Custom 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1"/>
  <sheetViews>
    <sheetView workbookViewId="0" rightToLeft="0"/>
  </sheetViews>
  <cols>
    <col min="1" max="1" customWidth="1" width="2.109375"/>
    <col min="2" max="2" customWidth="1" width="18.33203125"/>
    <col min="3" max="3" customWidth="1" width="17.6640625"/>
    <col min="4" max="4" customWidth="1" width="17.6640625"/>
    <col min="5" max="5" customWidth="1" width="17.6640625"/>
    <col min="6" max="6" customWidth="1" width="17.6640625"/>
    <col min="7" max="7" customWidth="1" width="17.6640625"/>
    <col min="8" max="8" customWidth="1" width="17.6640625"/>
    <col min="9" max="9" customWidth="1" width="2.5546875"/>
    <col min="14" max="14" customWidth="1" width="5.77734375"/>
  </cols>
  <sheetData>
    <row r="1" ht="13.5" customHeight="1"/>
    <row r="2" ht="54" customHeight="1">
      <c r="B2">
        <v>2023</v>
      </c>
      <c r="C2" t="str">
        <v>1 月</v>
      </c>
      <c r="E2" t="str">
        <v>利用希望施設：北体育館３Fアリーナ</v>
      </c>
      <c r="G2" t="str">
        <v>使用団体名：バレーボール部</v>
      </c>
    </row>
    <row r="3" ht="14.25" customHeight="1">
      <c r="B3" t="str">
        <v>日曜日</v>
      </c>
      <c r="C3" t="str">
        <f>UPPER(TEXT(C4,"aaaa"))</f>
        <v>月曜日</v>
      </c>
      <c r="D3" t="str">
        <f>UPPER(TEXT(D4,"aaaa"))</f>
        <v>火曜日</v>
      </c>
      <c r="E3" t="str">
        <f>UPPER(TEXT(E4,"aaaa"))</f>
        <v>水曜日</v>
      </c>
      <c r="F3" t="str">
        <f>UPPER(TEXT(F4,"aaaa"))</f>
        <v>木曜日</v>
      </c>
      <c r="G3" t="str">
        <f>UPPER(TEXT(G4,"aaaa"))</f>
        <v>金曜日</v>
      </c>
      <c r="H3" t="str">
        <f>UPPER(TEXT(H4,"aaaa"))</f>
        <v>土曜日</v>
      </c>
    </row>
    <row r="4" ht="16.5" customHeight="1">
      <c r="B4" s="1">
        <f t="array" ref="B4:H4">Days+1+DATE(Calendar1Year,Calendar1MonthOption,1)-WEEKDAY(DATE(Calendar1Year,Calendar1MonthOption,1),WeekdayOption)</f>
        <v>44927</v>
      </c>
      <c r="C4" s="1">
        <v>44928</v>
      </c>
      <c r="D4" s="1">
        <v>44929</v>
      </c>
      <c r="E4" s="1">
        <v>44930</v>
      </c>
      <c r="F4" s="1">
        <v>44931</v>
      </c>
      <c r="G4" s="1">
        <v>44932</v>
      </c>
      <c r="H4" s="1">
        <v>44933</v>
      </c>
    </row>
    <row r="5" ht="56.25" customHeight="1">
      <c r="H5" s="2" t="str">
        <v>12：00～15：00</v>
      </c>
    </row>
    <row r="6" ht="16.5" customHeight="1">
      <c r="B6" s="1">
        <f t="array" ref="B6:H6">Days+8+DATE(Calendar1Year,Calendar1MonthOption,1)-WEEKDAY(DATE(Calendar1Year,Calendar1MonthOption,1),WeekdayOption)</f>
        <v>44934</v>
      </c>
      <c r="C6" s="1">
        <v>44935</v>
      </c>
      <c r="D6" s="1">
        <v>44936</v>
      </c>
      <c r="E6" s="1">
        <v>44937</v>
      </c>
      <c r="F6" s="1">
        <v>44938</v>
      </c>
      <c r="G6" s="1">
        <v>44939</v>
      </c>
      <c r="H6" s="1">
        <v>44940</v>
      </c>
    </row>
    <row r="7" ht="56.25" customHeight="1">
      <c r="B7" s="2" t="str">
        <v>9：00～12：00</v>
      </c>
      <c r="C7" s="2" t="str">
        <v>16：30～18：30</v>
      </c>
      <c r="D7" s="2" t="str">
        <v>18：30～21：00</v>
      </c>
      <c r="E7" s="2" t="str">
        <v>18：30～21：00</v>
      </c>
      <c r="F7" s="2" t="str">
        <v>18：30～21：00</v>
      </c>
      <c r="G7" s="2" t="str">
        <v>16：30～18：30</v>
      </c>
      <c r="H7" s="2" t="str">
        <v>12：00～15：00</v>
      </c>
    </row>
    <row r="8" ht="16.5" customHeight="1">
      <c r="B8" s="1">
        <f t="array" ref="B8:H8">Days+15+DATE(Calendar1Year,Calendar1MonthOption,1)-WEEKDAY(DATE(Calendar1Year,Calendar1MonthOption,1),WeekdayOption)</f>
        <v>44941</v>
      </c>
      <c r="C8" s="1">
        <v>44942</v>
      </c>
      <c r="D8" s="1">
        <v>44943</v>
      </c>
      <c r="E8" s="1">
        <v>44944</v>
      </c>
      <c r="F8" s="1">
        <v>44945</v>
      </c>
      <c r="G8" s="1">
        <v>44946</v>
      </c>
      <c r="H8" s="1">
        <v>44947</v>
      </c>
    </row>
    <row r="9" ht="56.25" customHeight="1">
      <c r="B9" s="2" t="str">
        <v>9：00～12：00</v>
      </c>
      <c r="C9" s="2" t="str">
        <v>16：30～18：30</v>
      </c>
      <c r="D9" s="2" t="str">
        <v>18：30～21：00</v>
      </c>
      <c r="E9" s="2" t="str">
        <v>18：30～21：00</v>
      </c>
      <c r="F9" s="2" t="str">
        <v>18：30～21：00</v>
      </c>
      <c r="G9" s="2" t="str">
        <v>16：30～18：30</v>
      </c>
      <c r="H9" s="2" t="str">
        <v>12：00～15：00</v>
      </c>
    </row>
    <row r="10" ht="16.5" customHeight="1">
      <c r="B10" s="1">
        <f t="array" ref="B10:H10">Days+22+DATE(Calendar1Year,Calendar1MonthOption,1)-WEEKDAY(DATE(Calendar1Year,Calendar1MonthOption,1),WeekdayOption)</f>
        <v>44948</v>
      </c>
      <c r="C10" s="1">
        <v>44949</v>
      </c>
      <c r="D10" s="1">
        <v>44950</v>
      </c>
      <c r="E10" s="1">
        <v>44951</v>
      </c>
      <c r="F10" s="1">
        <v>44952</v>
      </c>
      <c r="G10" s="1">
        <v>44953</v>
      </c>
      <c r="H10" s="1">
        <v>44954</v>
      </c>
    </row>
    <row r="11" ht="56.25" customHeight="1">
      <c r="B11" s="2" t="str">
        <v>9：00～12：00</v>
      </c>
      <c r="C11" s="2" t="str">
        <v>16：30～18：30</v>
      </c>
      <c r="D11" s="2" t="str">
        <v>18：30～21：00</v>
      </c>
      <c r="E11" s="2" t="str">
        <v>18：30～21：00</v>
      </c>
      <c r="F11" s="2" t="str">
        <v>18：30～21：00</v>
      </c>
      <c r="G11" s="2" t="str">
        <v>16：30～18：30</v>
      </c>
      <c r="H11" s="2" t="str">
        <v>12：00～15：00</v>
      </c>
    </row>
    <row r="12" ht="16.5" customHeight="1">
      <c r="B12" s="1">
        <f t="array" ref="B12:H12">Days+29+DATE(Calendar1Year,Calendar1MonthOption,1)-WEEKDAY(DATE(Calendar1Year,Calendar1MonthOption,1),WeekdayOption)</f>
        <v>44955</v>
      </c>
      <c r="C12" s="1">
        <v>44956</v>
      </c>
      <c r="D12" s="1">
        <v>44957</v>
      </c>
      <c r="E12" s="1">
        <v>44958</v>
      </c>
      <c r="F12" s="1">
        <v>44959</v>
      </c>
      <c r="G12" s="1">
        <v>44960</v>
      </c>
      <c r="H12" s="1">
        <v>44961</v>
      </c>
    </row>
    <row r="13" ht="57" customHeight="1">
      <c r="B13" s="2" t="str">
        <v>9：00～12：00</v>
      </c>
      <c r="C13" s="2" t="str">
        <v>16：30～18：30</v>
      </c>
      <c r="D13" s="2" t="str">
        <v>18：30～21：00</v>
      </c>
      <c r="E13" s="2" t="str">
        <v>18：30～21：00</v>
      </c>
      <c r="F13" s="2" t="str">
        <v>18：30～21：00</v>
      </c>
      <c r="G13" s="2" t="str">
        <v>16：30～18：30</v>
      </c>
      <c r="H13" s="2" t="str">
        <v>12：00～15：00</v>
      </c>
    </row>
    <row r="14" ht="16.5" customHeight="1">
      <c r="B14" s="1">
        <f t="array" ref="B14:C14">Days+36+DATE(Calendar1Year,Calendar1MonthOption,1)-WEEKDAY(DATE(Calendar1Year,Calendar1MonthOption,1),WeekdayOption)</f>
        <v>44962</v>
      </c>
      <c r="C14" s="1">
        <v>44963</v>
      </c>
      <c r="D14" t="str">
        <v>メモ:</v>
      </c>
    </row>
    <row r="15" ht="63.75" customHeight="1">
      <c r="B15" s="2" t="str">
        <v>9：00～12：00</v>
      </c>
      <c r="C15" s="2" t="str">
        <v>16：30～18：30</v>
      </c>
    </row>
    <row r="16" ht="63.75" customHeight="1"/>
    <row r="17" ht="54" customHeight="1">
      <c r="B17">
        <f>YEAR(DATE(Calendar1Year,Calendar1MonthOption+1,1))</f>
        <v>2023</v>
      </c>
      <c r="C17" t="str">
        <f>TEXT(DATE(Calendar1Year,Calendar1MonthOption+1,1),"m 月")</f>
        <v>2 月</v>
      </c>
    </row>
    <row r="18" ht="14.25" customHeight="1">
      <c r="B18" t="str">
        <f>UPPER(TEXT(B19,"aaaa"))</f>
        <v>日曜日</v>
      </c>
      <c r="C18" t="str">
        <f>UPPER(TEXT(C19,"aaaa"))</f>
        <v>月曜日</v>
      </c>
      <c r="D18" t="str">
        <f>UPPER(TEXT(D19,"aaaa"))</f>
        <v>火曜日</v>
      </c>
      <c r="E18" t="str">
        <f>UPPER(TEXT(E19,"aaaa"))</f>
        <v>水曜日</v>
      </c>
      <c r="F18" t="str">
        <f>UPPER(TEXT(F19,"aaaa"))</f>
        <v>木曜日</v>
      </c>
      <c r="G18" t="str">
        <f>UPPER(TEXT(G19,"aaaa"))</f>
        <v>金曜日</v>
      </c>
      <c r="H18" t="str">
        <f>UPPER(TEXT(H19,"aaaa"))</f>
        <v>土曜日</v>
      </c>
    </row>
    <row r="19" ht="16.5" customHeight="1">
      <c r="B19" s="1">
        <f t="array" ref="B19:H19">Days+1+DATE(Calendar2Year,Calendar2MonthOption,1)-WEEKDAY(DATE(Calendar2Year,Calendar2MonthOption,1),WeekdayOption)</f>
        <v>44955</v>
      </c>
      <c r="C19" s="1">
        <v>44956</v>
      </c>
      <c r="D19" s="1">
        <v>44957</v>
      </c>
      <c r="E19" s="1">
        <v>44958</v>
      </c>
      <c r="F19" s="1">
        <v>44959</v>
      </c>
      <c r="G19" s="1">
        <v>44960</v>
      </c>
      <c r="H19" s="1">
        <v>44961</v>
      </c>
    </row>
    <row r="20" ht="56.25" customHeight="1"/>
    <row r="21" ht="16.5" customHeight="1">
      <c r="B21" s="1">
        <f t="array" ref="B21:H21">Days+8+DATE(Calendar2Year,Calendar2MonthOption,1)-WEEKDAY(DATE(Calendar2Year,Calendar2MonthOption,1),WeekdayOption)</f>
        <v>44962</v>
      </c>
      <c r="C21" s="1">
        <v>44963</v>
      </c>
      <c r="D21" s="1">
        <v>44964</v>
      </c>
      <c r="E21" s="1">
        <v>44965</v>
      </c>
      <c r="F21" s="1">
        <v>44966</v>
      </c>
      <c r="G21" s="1">
        <v>44967</v>
      </c>
      <c r="H21" s="1">
        <v>44968</v>
      </c>
    </row>
    <row r="22" ht="56.25" customHeight="1"/>
    <row r="23" ht="16.5" customHeight="1">
      <c r="B23" s="1">
        <f t="array" ref="B23:H23">Days+15+DATE(Calendar2Year,Calendar2MonthOption,1)-WEEKDAY(DATE(Calendar2Year,Calendar2MonthOption,1),WeekdayOption)</f>
        <v>44969</v>
      </c>
      <c r="C23" s="1">
        <v>44970</v>
      </c>
      <c r="D23" s="1">
        <v>44971</v>
      </c>
      <c r="E23" s="1">
        <v>44972</v>
      </c>
      <c r="F23" s="1">
        <v>44973</v>
      </c>
      <c r="G23" s="1">
        <v>44974</v>
      </c>
      <c r="H23" s="1">
        <v>44975</v>
      </c>
    </row>
    <row r="24" ht="56.25" customHeight="1"/>
    <row r="25" ht="16.5" customHeight="1">
      <c r="B25" s="1">
        <f t="array" ref="B25:H25">Days+22+DATE(Calendar2Year,Calendar2MonthOption,1)-WEEKDAY(DATE(Calendar2Year,Calendar2MonthOption,1),WeekdayOption)</f>
        <v>44976</v>
      </c>
      <c r="C25" s="1">
        <v>44977</v>
      </c>
      <c r="D25" s="1">
        <v>44978</v>
      </c>
      <c r="E25" s="1">
        <v>44979</v>
      </c>
      <c r="F25" s="1">
        <v>44980</v>
      </c>
      <c r="G25" s="1">
        <v>44981</v>
      </c>
      <c r="H25" s="1">
        <v>44982</v>
      </c>
    </row>
    <row r="26" ht="56.25" customHeight="1"/>
    <row r="27" ht="16.5" customHeight="1">
      <c r="B27" s="1">
        <f t="array" ref="B27:H27">Days+29+DATE(Calendar2Year,Calendar2MonthOption,1)-WEEKDAY(DATE(Calendar2Year,Calendar2MonthOption,1),WeekdayOption)</f>
        <v>44983</v>
      </c>
      <c r="C27" s="1">
        <v>44984</v>
      </c>
      <c r="D27" s="1">
        <v>44985</v>
      </c>
      <c r="E27" s="1">
        <v>44986</v>
      </c>
      <c r="F27" s="1">
        <v>44987</v>
      </c>
      <c r="G27" s="1">
        <v>44988</v>
      </c>
      <c r="H27" s="1">
        <v>44989</v>
      </c>
    </row>
    <row r="28" ht="57" customHeight="1"/>
    <row r="29" ht="16.5" customHeight="1">
      <c r="B29" s="1">
        <f t="array" ref="B29:C29">Days+36+DATE(Calendar2Year,Calendar2MonthOption,1)-WEEKDAY(DATE(Calendar2Year,Calendar2MonthOption,1),WeekdayOption)</f>
        <v>44990</v>
      </c>
      <c r="C29" s="1">
        <v>44991</v>
      </c>
      <c r="D29" t="str">
        <v>メモ:</v>
      </c>
    </row>
    <row r="30" ht="63.75" customHeight="1"/>
    <row r="31" ht="63.75" customHeight="1"/>
    <row r="32" hidden="1" ht="54" customHeight="1">
      <c r="B32">
        <f>YEAR(DATE(Calendar2Year,Calendar2MonthOption+1,1))</f>
        <v>2023</v>
      </c>
      <c r="C32" t="str">
        <f>TEXT(DATE(Calendar2Year,Calendar2MonthOption+1,1),"m 月")</f>
        <v>3 月</v>
      </c>
    </row>
    <row r="33" hidden="1" ht="14.25" customHeight="1">
      <c r="B33" t="str">
        <f>UPPER(TEXT(B34,"aaaa"))</f>
        <v>日曜日</v>
      </c>
      <c r="C33" t="str">
        <f>UPPER(TEXT(C34,"aaaa"))</f>
        <v>月曜日</v>
      </c>
      <c r="D33" t="str">
        <f>UPPER(TEXT(D34,"aaaa"))</f>
        <v>火曜日</v>
      </c>
      <c r="E33" t="str">
        <f>UPPER(TEXT(E34,"aaaa"))</f>
        <v>水曜日</v>
      </c>
      <c r="F33" t="str">
        <f>UPPER(TEXT(F34,"aaaa"))</f>
        <v>木曜日</v>
      </c>
      <c r="G33" t="str">
        <f>UPPER(TEXT(G34,"aaaa"))</f>
        <v>金曜日</v>
      </c>
      <c r="H33" t="str">
        <f>UPPER(TEXT(H34,"aaaa"))</f>
        <v>土曜日</v>
      </c>
    </row>
    <row r="34" hidden="1" ht="16.5" customHeight="1">
      <c r="B34" s="1">
        <f t="array" ref="B34:H34">Days+1+DATE(Calendar3Year,Calendar3MonthOption,1)-WEEKDAY(DATE(Calendar3Year,Calendar3MonthOption,1),WeekdayOption)</f>
        <v>44983</v>
      </c>
      <c r="C34" s="1">
        <v>44984</v>
      </c>
      <c r="D34" s="1">
        <v>44985</v>
      </c>
      <c r="E34" s="1">
        <v>44986</v>
      </c>
      <c r="F34" s="1">
        <v>44987</v>
      </c>
      <c r="G34" s="1">
        <v>44988</v>
      </c>
      <c r="H34" s="1">
        <v>44989</v>
      </c>
    </row>
    <row r="35" hidden="1" ht="56.25" customHeight="1"/>
    <row r="36" hidden="1" ht="16.5" customHeight="1">
      <c r="B36" s="1">
        <f t="array" ref="B36:H36">Days+8+DATE(Calendar3Year,Calendar3MonthOption,1)-WEEKDAY(DATE(Calendar3Year,Calendar3MonthOption,1),WeekdayOption)</f>
        <v>44990</v>
      </c>
      <c r="C36" s="1">
        <v>44991</v>
      </c>
      <c r="D36" s="1">
        <v>44992</v>
      </c>
      <c r="E36" s="1">
        <v>44993</v>
      </c>
      <c r="F36" s="1">
        <v>44994</v>
      </c>
      <c r="G36" s="1">
        <v>44995</v>
      </c>
      <c r="H36" s="1">
        <v>44996</v>
      </c>
    </row>
    <row r="37" hidden="1" ht="56.25" customHeight="1"/>
    <row r="38" hidden="1" ht="16.5" customHeight="1">
      <c r="B38" s="1">
        <f t="array" ref="B38:H38">Days+15+DATE(Calendar3Year,Calendar3MonthOption,1)-WEEKDAY(DATE(Calendar3Year,Calendar3MonthOption,1),WeekdayOption)</f>
        <v>44997</v>
      </c>
      <c r="C38" s="1">
        <v>44998</v>
      </c>
      <c r="D38" s="1">
        <v>44999</v>
      </c>
      <c r="E38" s="1">
        <v>45000</v>
      </c>
      <c r="F38" s="1">
        <v>45001</v>
      </c>
      <c r="G38" s="1">
        <v>45002</v>
      </c>
      <c r="H38" s="1">
        <v>45003</v>
      </c>
    </row>
    <row r="39" hidden="1" ht="56.25" customHeight="1"/>
    <row r="40" hidden="1" ht="16.5" customHeight="1">
      <c r="B40" s="1">
        <f t="array" ref="B40:H40">Days+22+DATE(Calendar3Year,Calendar3MonthOption,1)-WEEKDAY(DATE(Calendar3Year,Calendar3MonthOption,1),WeekdayOption)</f>
        <v>45004</v>
      </c>
      <c r="C40" s="1">
        <v>45005</v>
      </c>
      <c r="D40" s="1">
        <v>45006</v>
      </c>
      <c r="E40" s="1">
        <v>45007</v>
      </c>
      <c r="F40" s="1">
        <v>45008</v>
      </c>
      <c r="G40" s="1">
        <v>45009</v>
      </c>
      <c r="H40" s="1">
        <v>45010</v>
      </c>
    </row>
    <row r="41" hidden="1" ht="56.25" customHeight="1"/>
    <row r="42" hidden="1" ht="16.5" customHeight="1">
      <c r="B42" s="1">
        <f t="array" ref="B42:H42">Days+29+DATE(Calendar3Year,Calendar3MonthOption,1)-WEEKDAY(DATE(Calendar3Year,Calendar3MonthOption,1),WeekdayOption)</f>
        <v>45011</v>
      </c>
      <c r="C42" s="1">
        <v>45012</v>
      </c>
      <c r="D42" s="1">
        <v>45013</v>
      </c>
      <c r="E42" s="1">
        <v>45014</v>
      </c>
      <c r="F42" s="1">
        <v>45015</v>
      </c>
      <c r="G42" s="1">
        <v>45016</v>
      </c>
      <c r="H42" s="1">
        <v>45017</v>
      </c>
    </row>
    <row r="43" hidden="1" ht="57" customHeight="1"/>
    <row r="44" hidden="1" ht="16.5" customHeight="1">
      <c r="B44" s="1">
        <f t="array" ref="B44:C44">Days+36+DATE(Calendar3Year,Calendar3MonthOption,1)-WEEKDAY(DATE(Calendar3Year,Calendar3MonthOption,1),WeekdayOption)</f>
        <v>45018</v>
      </c>
      <c r="C44" s="1">
        <v>45019</v>
      </c>
      <c r="D44" t="str">
        <v>メモ:</v>
      </c>
    </row>
    <row r="45" hidden="1" ht="63.75" customHeight="1"/>
    <row r="46" ht="54" customHeight="1"/>
    <row r="47" ht="14.25" customHeight="1"/>
    <row r="48" ht="16.5" customHeight="1"/>
    <row r="49" ht="56.25" customHeight="1"/>
    <row r="50" ht="16.5" customHeight="1"/>
    <row r="51" ht="56.25" customHeight="1"/>
    <row r="52" ht="16.5" customHeight="1"/>
    <row r="53" ht="56.25" customHeight="1"/>
    <row r="54" ht="16.5" customHeight="1"/>
    <row r="55" ht="56.25" customHeight="1"/>
    <row r="56" ht="16.5" customHeight="1"/>
    <row r="57" ht="57" customHeight="1"/>
    <row r="58" ht="16.5" customHeight="1"/>
    <row r="59" ht="63.75" customHeight="1"/>
    <row r="60" ht="54" customHeight="1"/>
    <row r="61" ht="14.25" customHeight="1"/>
    <row r="62" ht="16.5" customHeight="1"/>
    <row r="63" ht="56.25" customHeight="1"/>
    <row r="64" ht="16.5" customHeight="1"/>
    <row r="65" ht="56.25" customHeight="1"/>
    <row r="66" ht="16.5" customHeight="1"/>
    <row r="67" ht="56.25" customHeight="1"/>
    <row r="68" ht="16.5" customHeight="1"/>
    <row r="69" ht="56.25" customHeight="1"/>
    <row r="70" ht="16.5" customHeight="1"/>
    <row r="71" ht="57" customHeight="1"/>
    <row r="72" ht="16.5" customHeight="1"/>
    <row r="73" ht="63.75" customHeight="1"/>
    <row r="74" ht="54" customHeight="1"/>
    <row r="75" ht="14.25" customHeight="1"/>
    <row r="76" ht="16.5" customHeight="1"/>
    <row r="77" ht="56.25" customHeight="1"/>
    <row r="78" ht="16.5" customHeight="1"/>
    <row r="79" ht="56.25" customHeight="1"/>
    <row r="80" ht="16.5" customHeight="1"/>
    <row r="81" ht="56.25" customHeight="1"/>
    <row r="82" ht="16.5" customHeight="1"/>
    <row r="83" ht="56.25" customHeight="1"/>
    <row r="84" ht="16.5" customHeight="1"/>
    <row r="85" ht="57" customHeight="1"/>
    <row r="86" ht="16.5" customHeight="1"/>
    <row r="87" ht="63.75" customHeight="1"/>
    <row r="88" ht="54" customHeight="1"/>
    <row r="89" ht="14.25" customHeight="1"/>
    <row r="90" ht="16.5" customHeight="1"/>
    <row r="91" ht="56.25" customHeight="1"/>
    <row r="92" ht="16.5" customHeight="1"/>
    <row r="93" ht="56.25" customHeight="1"/>
    <row r="94" ht="16.5" customHeight="1"/>
    <row r="95" ht="56.25" customHeight="1"/>
    <row r="96" ht="16.5" customHeight="1"/>
    <row r="97" ht="56.25" customHeight="1"/>
    <row r="98" ht="16.5" customHeight="1"/>
    <row r="99" ht="57" customHeight="1"/>
    <row r="100" ht="16.5" customHeight="1"/>
    <row r="101" ht="63.75" customHeight="1"/>
    <row r="102" ht="54" customHeight="1"/>
    <row r="103" ht="14.25" customHeight="1"/>
    <row r="104" ht="16.5" customHeight="1"/>
    <row r="105" ht="56.25" customHeight="1"/>
    <row r="106" ht="16.5" customHeight="1"/>
    <row r="107" ht="56.25" customHeight="1"/>
    <row r="108" ht="16.5" customHeight="1"/>
    <row r="109" ht="56.25" customHeight="1"/>
    <row r="110" ht="16.5" customHeight="1"/>
    <row r="111" ht="56.25" customHeight="1"/>
    <row r="112" ht="16.5" customHeight="1"/>
    <row r="113" ht="57" customHeight="1"/>
    <row r="114" ht="16.5" customHeight="1"/>
    <row r="115" ht="63.75" customHeight="1"/>
    <row r="116" ht="54" customHeight="1"/>
    <row r="117" ht="14.25" customHeight="1"/>
    <row r="118" ht="16.5" customHeight="1"/>
    <row r="119" ht="56.25" customHeight="1"/>
    <row r="120" ht="16.5" customHeight="1"/>
    <row r="121" ht="56.25" customHeight="1"/>
    <row r="122" ht="16.5" customHeight="1"/>
    <row r="123" ht="56.25" customHeight="1"/>
    <row r="124" ht="16.5" customHeight="1"/>
    <row r="125" ht="56.25" customHeight="1"/>
    <row r="126" ht="16.5" customHeight="1"/>
    <row r="127" ht="57" customHeight="1"/>
    <row r="128" ht="16.5" customHeight="1"/>
    <row r="129" ht="63.75" customHeight="1"/>
    <row r="130" ht="54" customHeight="1"/>
    <row r="131" ht="14.25" customHeight="1"/>
    <row r="132" ht="16.5" customHeight="1"/>
    <row r="133" ht="56.25" customHeight="1"/>
    <row r="134" ht="16.5" customHeight="1"/>
    <row r="135" ht="56.25" customHeight="1"/>
    <row r="136" ht="16.5" customHeight="1"/>
    <row r="137" ht="56.25" customHeight="1"/>
    <row r="138" ht="16.5" customHeight="1"/>
    <row r="139" ht="56.25" customHeight="1"/>
    <row r="140" ht="16.5" customHeight="1"/>
    <row r="141" ht="57" customHeight="1"/>
    <row r="142" ht="16.5" customHeight="1"/>
    <row r="143" ht="63.75" customHeight="1"/>
    <row r="144" ht="54" customHeight="1"/>
    <row r="145" ht="14.25" customHeight="1"/>
    <row r="146" ht="16.5" customHeight="1"/>
    <row r="147" ht="56.25" customHeight="1"/>
    <row r="148" ht="16.5" customHeight="1"/>
    <row r="149" ht="56.25" customHeight="1"/>
    <row r="150" ht="16.5" customHeight="1"/>
    <row r="151" ht="56.25" customHeight="1"/>
    <row r="152" ht="16.5" customHeight="1"/>
    <row r="153" ht="56.25" customHeight="1"/>
    <row r="154" ht="16.5" customHeight="1"/>
    <row r="155" ht="57" customHeight="1"/>
    <row r="156" ht="16.5" customHeight="1"/>
    <row r="157" ht="63.75" customHeight="1"/>
    <row r="158" ht="54" customHeight="1"/>
    <row r="159" ht="14.25" customHeight="1"/>
    <row r="160" ht="16.5" customHeight="1"/>
    <row r="161" ht="56.25" customHeight="1"/>
    <row r="162" ht="16.5" customHeight="1"/>
    <row r="163" ht="56.25" customHeight="1"/>
    <row r="164" ht="16.5" customHeight="1"/>
    <row r="165" ht="56.25" customHeight="1"/>
    <row r="166" ht="16.5" customHeight="1"/>
    <row r="167" ht="56.25" customHeight="1"/>
    <row r="168" ht="16.5" customHeight="1"/>
    <row r="169" ht="57" customHeight="1"/>
    <row r="170" ht="16.5" customHeight="1"/>
    <row r="171" ht="63.75" customHeight="1"/>
  </sheetData>
  <mergeCells count="10">
    <mergeCell ref="D30:H30"/>
    <mergeCell ref="C32:E32"/>
    <mergeCell ref="D44:H44"/>
    <mergeCell ref="D45:H45"/>
    <mergeCell ref="E2:F2"/>
    <mergeCell ref="G2:H2"/>
    <mergeCell ref="D14:H14"/>
    <mergeCell ref="D15:H15"/>
    <mergeCell ref="C17:E17"/>
    <mergeCell ref="D29:H29"/>
  </mergeCells>
  <pageMargins left="0.25" right="0.25" top="0.45" bottom="0.45" header="0.5" footer="0.5"/>
  <ignoredErrors>
    <ignoredError numberStoredAsText="1" sqref="A1:H17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7"/>
  <sheetViews>
    <sheetView workbookViewId="0" rightToLeft="0"/>
  </sheetViews>
  <cols>
    <col min="1" max="1" customWidth="1" width="2.109375"/>
    <col min="2" max="2" customWidth="1" width="18.33203125"/>
    <col min="3" max="3" customWidth="1" width="17.6640625"/>
    <col min="4" max="4" customWidth="1" width="17.6640625"/>
    <col min="5" max="5" customWidth="1" width="17.6640625"/>
    <col min="6" max="6" customWidth="1" width="17.6640625"/>
    <col min="7" max="7" customWidth="1" width="17.6640625"/>
    <col min="8" max="8" customWidth="1" width="17.6640625"/>
    <col min="9" max="9" customWidth="1" width="2.5546875"/>
    <col min="14" max="14" customWidth="1" width="5.77734375"/>
  </cols>
  <sheetData>
    <row r="1" ht="13.5" customHeight="1">
      <c r="E1" t="str">
        <v>※予定表を提出する時はファイル名を「団体名（個人名）_施設名_予定表」に必ず変更ください。</v>
      </c>
    </row>
    <row r="2" ht="13.5" customHeight="1">
      <c r="E2" t="str">
        <v>※利用の予約は申請日の1週間先から翌月末までの間の予約が可能です。原則1週間未満の申請は受付ません。</v>
      </c>
    </row>
    <row r="3" ht="54" customHeight="1">
      <c r="B3" t="str">
        <v>2026</v>
      </c>
      <c r="C3" t="str">
        <v>5 月</v>
      </c>
      <c r="E3" t="str">
        <v>利用希望施設：测试馆</v>
      </c>
      <c r="G3" t="str">
        <v>使用団体名：测试团体</v>
      </c>
    </row>
    <row r="4" ht="14.25" customHeight="1">
      <c r="B4" t="str">
        <v>日曜日</v>
      </c>
      <c r="C4" t="str">
        <f>UPPER(TEXT(C5,"aaaa"))</f>
        <v>月曜日</v>
      </c>
      <c r="D4" t="str">
        <f>UPPER(TEXT(D5,"aaaa"))</f>
        <v>火曜日</v>
      </c>
      <c r="E4" t="str">
        <f>UPPER(TEXT(E5,"aaaa"))</f>
        <v>水曜日</v>
      </c>
      <c r="F4" t="str">
        <f>UPPER(TEXT(F5,"aaaa"))</f>
        <v>木曜日</v>
      </c>
      <c r="G4" t="str">
        <f>UPPER(TEXT(G5,"aaaa"))</f>
        <v>金曜日</v>
      </c>
      <c r="H4" t="str">
        <f>UPPER(TEXT(H5,"aaaa"))</f>
        <v>土曜日</v>
      </c>
    </row>
    <row r="5" ht="16.5" customHeight="1">
      <c r="B5" s="1">
        <f t="array" ref="B5:H5">Days+1+DATE(Calendar1Year,Calendar1MonthOption,1)-WEEKDAY(DATE(Calendar1Year,Calendar1MonthOption,1),WeekdayOption)</f>
        <v>46138</v>
      </c>
      <c r="C5" s="1">
        <v>46139</v>
      </c>
      <c r="D5" s="1">
        <v>46140</v>
      </c>
      <c r="E5" s="1">
        <v>46141</v>
      </c>
      <c r="F5" s="1">
        <v>46142</v>
      </c>
      <c r="G5" s="1">
        <v>46143</v>
      </c>
      <c r="H5" s="1">
        <v>46144</v>
      </c>
    </row>
    <row r="6" ht="56.25" customHeight="1"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/>
      </c>
    </row>
    <row r="7" ht="16.5" customHeight="1">
      <c r="B7" s="1">
        <f t="array" ref="B7:H7">Days+8+DATE(Calendar1Year,Calendar1MonthOption,1)-WEEKDAY(DATE(Calendar1Year,Calendar1MonthOption,1),WeekdayOption)</f>
        <v>46145</v>
      </c>
      <c r="C7" s="1">
        <v>46146</v>
      </c>
      <c r="D7" s="1">
        <v>46147</v>
      </c>
      <c r="E7" s="1">
        <v>46148</v>
      </c>
      <c r="F7" s="1">
        <v>46149</v>
      </c>
      <c r="G7" s="1">
        <v>46150</v>
      </c>
      <c r="H7" s="1">
        <v>46151</v>
      </c>
    </row>
    <row r="8" ht="56.25" customHeight="1"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</row>
    <row r="9" ht="16.5" customHeight="1">
      <c r="B9" s="1">
        <f t="array" ref="B9:H9">Days+15+DATE(Calendar1Year,Calendar1MonthOption,1)-WEEKDAY(DATE(Calendar1Year,Calendar1MonthOption,1),WeekdayOption)</f>
        <v>46152</v>
      </c>
      <c r="C9" s="1">
        <v>46153</v>
      </c>
      <c r="D9" s="1">
        <v>46154</v>
      </c>
      <c r="E9" s="1">
        <v>46155</v>
      </c>
      <c r="F9" s="1">
        <v>46156</v>
      </c>
      <c r="G9" s="1">
        <v>46157</v>
      </c>
      <c r="H9" s="1">
        <v>46158</v>
      </c>
    </row>
    <row r="10" ht="56.25" customHeight="1"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</row>
    <row r="11" ht="16.5" customHeight="1">
      <c r="B11" s="1">
        <f t="array" ref="B11:H11">Days+22+DATE(Calendar1Year,Calendar1MonthOption,1)-WEEKDAY(DATE(Calendar1Year,Calendar1MonthOption,1),WeekdayOption)</f>
        <v>46159</v>
      </c>
      <c r="C11" s="1">
        <v>46160</v>
      </c>
      <c r="D11" s="1">
        <v>46161</v>
      </c>
      <c r="E11" s="1">
        <v>46162</v>
      </c>
      <c r="F11" s="1">
        <v>46163</v>
      </c>
      <c r="G11" s="1">
        <v>46164</v>
      </c>
      <c r="H11" s="1">
        <v>46165</v>
      </c>
    </row>
    <row r="12" ht="56.25" customHeight="1"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</row>
    <row r="13" ht="16.5" customHeight="1">
      <c r="B13" s="1">
        <f t="array" ref="B13:H13">Days+29+DATE(Calendar1Year,Calendar1MonthOption,1)-WEEKDAY(DATE(Calendar1Year,Calendar1MonthOption,1),WeekdayOption)</f>
        <v>46166</v>
      </c>
      <c r="C13" s="1">
        <v>46167</v>
      </c>
      <c r="D13" s="1">
        <v>46168</v>
      </c>
      <c r="E13" s="1">
        <v>46169</v>
      </c>
      <c r="F13" s="1">
        <v>46170</v>
      </c>
      <c r="G13" s="1">
        <v>46171</v>
      </c>
      <c r="H13" s="1">
        <v>46172</v>
      </c>
    </row>
    <row r="14" ht="57" customHeight="1">
      <c r="B14" s="2" t="str">
        <v/>
      </c>
      <c r="C14" s="2" t="str">
        <v/>
      </c>
      <c r="D14" s="2" t="str">
        <v/>
      </c>
      <c r="E14" s="2" t="str">
        <v>10:00-11:00</v>
      </c>
      <c r="F14" s="2" t="str">
        <v/>
      </c>
      <c r="G14" s="2" t="str">
        <v/>
      </c>
      <c r="H14" s="2" t="str">
        <v/>
      </c>
    </row>
    <row r="15" ht="16.5" customHeight="1">
      <c r="B15" s="1">
        <f t="array" ref="B15:C15">Days+36+DATE(Calendar1Year,Calendar1MonthOption,1)-WEEKDAY(DATE(Calendar1Year,Calendar1MonthOption,1),WeekdayOption)</f>
        <v>46173</v>
      </c>
      <c r="C15" s="1">
        <v>46174</v>
      </c>
      <c r="D15">
        <v>46175</v>
      </c>
      <c r="E15">
        <v>46176</v>
      </c>
      <c r="F15">
        <v>46177</v>
      </c>
      <c r="G15">
        <v>46178</v>
      </c>
      <c r="H15">
        <v>46179</v>
      </c>
    </row>
    <row r="16" ht="63.75" customHeight="1"/>
    <row r="17" ht="63.75" customHeight="1"/>
    <row r="18" ht="54" customHeight="1">
      <c r="B18" t="str">
        <f>YEAR(DATE(Calendar1Year,Calendar1MonthOption+1,1))</f>
        <v>2026</v>
      </c>
      <c r="C18" t="str">
        <f>TEXT(DATE(Calendar1Year,Calendar1MonthOption+1,1),"m 月")</f>
        <v>6 月</v>
      </c>
      <c r="E18" t="str">
        <v>利用希望施設：测试馆</v>
      </c>
      <c r="G18" t="str">
        <v>使用団体名：测试团体</v>
      </c>
    </row>
    <row r="19" ht="14.25" customHeight="1">
      <c r="B19" t="str">
        <f>UPPER(TEXT(B20,"aaaa"))</f>
        <v>日曜日</v>
      </c>
      <c r="C19" t="str">
        <f>UPPER(TEXT(C20,"aaaa"))</f>
        <v>月曜日</v>
      </c>
      <c r="D19" t="str">
        <f>UPPER(TEXT(D20,"aaaa"))</f>
        <v>火曜日</v>
      </c>
      <c r="E19" t="str">
        <f>UPPER(TEXT(E20,"aaaa"))</f>
        <v>水曜日</v>
      </c>
      <c r="F19" t="str">
        <f>UPPER(TEXT(F20,"aaaa"))</f>
        <v>木曜日</v>
      </c>
      <c r="G19" t="str">
        <f>UPPER(TEXT(G20,"aaaa"))</f>
        <v>金曜日</v>
      </c>
      <c r="H19" t="str">
        <f>UPPER(TEXT(H20,"aaaa"))</f>
        <v>土曜日</v>
      </c>
    </row>
    <row r="20" ht="16.5" customHeight="1">
      <c r="B20" s="1">
        <f t="array" ref="B20:H20">Days+1+DATE(Calendar2Year,Calendar2MonthOption,1)-WEEKDAY(DATE(Calendar2Year,Calendar2MonthOption,1),WeekdayOption)</f>
        <v>46173</v>
      </c>
      <c r="C20" s="1">
        <v>46174</v>
      </c>
      <c r="D20" s="1">
        <v>46175</v>
      </c>
      <c r="E20" s="1">
        <v>46176</v>
      </c>
      <c r="F20" s="1">
        <v>46177</v>
      </c>
      <c r="G20" s="1">
        <v>46178</v>
      </c>
      <c r="H20" s="1">
        <v>46179</v>
      </c>
    </row>
    <row r="21" ht="56.25" customHeight="1"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</row>
    <row r="22" ht="16.5" customHeight="1">
      <c r="B22" s="1">
        <f t="array" ref="B22:H22">Days+8+DATE(Calendar2Year,Calendar2MonthOption,1)-WEEKDAY(DATE(Calendar2Year,Calendar2MonthOption,1),WeekdayOption)</f>
        <v>46180</v>
      </c>
      <c r="C22" s="1">
        <v>46181</v>
      </c>
      <c r="D22" s="1">
        <v>46182</v>
      </c>
      <c r="E22" s="1">
        <v>46183</v>
      </c>
      <c r="F22" s="1">
        <v>46184</v>
      </c>
      <c r="G22" s="1">
        <v>46185</v>
      </c>
      <c r="H22" s="1">
        <v>46186</v>
      </c>
    </row>
    <row r="23" ht="56.25" customHeight="1"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</row>
    <row r="24" ht="16.5" customHeight="1">
      <c r="B24" s="1">
        <f t="array" ref="B24:H24">Days+15+DATE(Calendar2Year,Calendar2MonthOption,1)-WEEKDAY(DATE(Calendar2Year,Calendar2MonthOption,1),WeekdayOption)</f>
        <v>46187</v>
      </c>
      <c r="C24" s="1">
        <v>46188</v>
      </c>
      <c r="D24" s="1">
        <v>46189</v>
      </c>
      <c r="E24" s="1">
        <v>46190</v>
      </c>
      <c r="F24" s="1">
        <v>46191</v>
      </c>
      <c r="G24" s="1">
        <v>46192</v>
      </c>
      <c r="H24" s="1">
        <v>46193</v>
      </c>
    </row>
    <row r="25" ht="56.25" customHeight="1">
      <c r="B25" s="2" t="str">
        <v/>
      </c>
      <c r="C25" s="2" t="str">
        <v/>
      </c>
      <c r="D25" s="2" t="str">
        <v/>
      </c>
      <c r="E25" s="2" t="str">
        <v/>
      </c>
      <c r="F25" s="2" t="str">
        <v/>
      </c>
      <c r="G25" s="2" t="str">
        <v/>
      </c>
      <c r="H25" s="2" t="str">
        <v/>
      </c>
    </row>
    <row r="26" ht="16.5" customHeight="1">
      <c r="B26" s="1">
        <f t="array" ref="B26:H26">Days+22+DATE(Calendar2Year,Calendar2MonthOption,1)-WEEKDAY(DATE(Calendar2Year,Calendar2MonthOption,1),WeekdayOption)</f>
        <v>46194</v>
      </c>
      <c r="C26" s="1">
        <v>46195</v>
      </c>
      <c r="D26" s="1">
        <v>46196</v>
      </c>
      <c r="E26" s="1">
        <v>46197</v>
      </c>
      <c r="F26" s="1">
        <v>46198</v>
      </c>
      <c r="G26" s="1">
        <v>46199</v>
      </c>
      <c r="H26" s="1">
        <v>46200</v>
      </c>
    </row>
    <row r="27" ht="56.25" customHeight="1">
      <c r="B27" s="2" t="str">
        <v/>
      </c>
      <c r="C27" s="2" t="str">
        <v/>
      </c>
      <c r="D27" s="2" t="str">
        <v/>
      </c>
      <c r="E27" s="2" t="str">
        <v/>
      </c>
      <c r="F27" s="2" t="str">
        <v/>
      </c>
      <c r="G27" s="2" t="str">
        <v/>
      </c>
      <c r="H27" s="2" t="str">
        <v/>
      </c>
    </row>
    <row r="28" ht="16.5" customHeight="1">
      <c r="B28" s="1">
        <f t="array" ref="B28:H28">Days+29+DATE(Calendar2Year,Calendar2MonthOption,1)-WEEKDAY(DATE(Calendar2Year,Calendar2MonthOption,1),WeekdayOption)</f>
        <v>46201</v>
      </c>
      <c r="C28" s="1">
        <v>46202</v>
      </c>
      <c r="D28" s="1">
        <v>46203</v>
      </c>
      <c r="E28" s="1">
        <v>46204</v>
      </c>
      <c r="F28" s="1">
        <v>46205</v>
      </c>
      <c r="G28" s="1">
        <v>46206</v>
      </c>
      <c r="H28" s="1">
        <v>46207</v>
      </c>
    </row>
    <row r="29" ht="57" customHeight="1"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</row>
    <row r="30" ht="16.5" customHeight="1">
      <c r="B30" s="1">
        <f t="array" ref="B30:C30">Days+36+DATE(Calendar2Year,Calendar2MonthOption,1)-WEEKDAY(DATE(Calendar2Year,Calendar2MonthOption,1),WeekdayOption)</f>
        <v>46208</v>
      </c>
      <c r="C30" s="1">
        <v>46209</v>
      </c>
      <c r="D30">
        <v>46210</v>
      </c>
      <c r="E30">
        <v>46211</v>
      </c>
      <c r="F30">
        <v>46212</v>
      </c>
      <c r="G30">
        <v>46213</v>
      </c>
      <c r="H30">
        <v>46214</v>
      </c>
    </row>
    <row r="31" ht="63.75" customHeight="1">
      <c r="B31" s="2" t="str">
        <v/>
      </c>
      <c r="C31" s="2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</sheetData>
  <mergeCells count="8">
    <mergeCell ref="D31:H31"/>
    <mergeCell ref="E18:F18"/>
    <mergeCell ref="G18:H18"/>
    <mergeCell ref="G3:H3"/>
    <mergeCell ref="E3:F3"/>
    <mergeCell ref="D15:H15"/>
    <mergeCell ref="D16:H16"/>
    <mergeCell ref="D30:H30"/>
  </mergeCells>
  <pageMargins left="0.25" right="0.25" top="0.45" bottom="0.45" header="0.5" footer="0.5"/>
  <ignoredErrors>
    <ignoredError numberStoredAsText="1" sqref="A1: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入力用（記入例 example）</vt:lpstr>
      <vt:lpstr>入力用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2018-02-18T23:49:08Z</dcterms:created>
  <dcterms:modified xsi:type="dcterms:W3CDTF">2025-02-03T07:29:54Z</dcterms:modified>
  <cp:lastModifiedBy>村上　直希</cp:lastModifiedBy>
  <cp:lastPrinted>2024-12-06T00:08:02Z</cp:lastPrinted>
  <dc:creator>村上　直希</dc:creator>
</cp:coreProperties>
</file>